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13_ncr:1_{950044A8-CBF4-4C22-AF94-7E2168E06D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pe" sheetId="1" r:id="rId1"/>
    <sheet name="Détails1" sheetId="6" r:id="rId2"/>
    <sheet name="Détails2" sheetId="7" r:id="rId3"/>
    <sheet name="Détails3" sheetId="8" r:id="rId4"/>
    <sheet name="Recap" sheetId="3" r:id="rId5"/>
    <sheet name="liste des taches" sheetId="2" r:id="rId6"/>
    <sheet name="avancement" sheetId="4" r:id="rId7"/>
    <sheet name="detail_avancement" sheetId="5" r:id="rId8"/>
  </sheets>
  <calcPr calcId="191029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5" l="1"/>
  <c r="B22" i="5"/>
  <c r="B23" i="5"/>
  <c r="B24" i="5"/>
  <c r="B25" i="5"/>
  <c r="B26" i="5"/>
  <c r="B27" i="5"/>
  <c r="B28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" i="5"/>
  <c r="K21" i="2"/>
  <c r="K22" i="2"/>
  <c r="K23" i="2"/>
  <c r="K24" i="2"/>
  <c r="K25" i="2"/>
  <c r="K26" i="2"/>
  <c r="K27" i="2"/>
  <c r="K28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21" i="2"/>
  <c r="J22" i="2"/>
  <c r="J23" i="2"/>
  <c r="J24" i="2"/>
  <c r="J25" i="2"/>
  <c r="J26" i="2"/>
  <c r="J27" i="2"/>
  <c r="J28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2" i="4"/>
  <c r="B2" i="4"/>
  <c r="C2" i="4" l="1"/>
  <c r="C3" i="4" l="1"/>
  <c r="E2" i="4"/>
  <c r="D2" i="4"/>
  <c r="B12" i="3" s="1"/>
</calcChain>
</file>

<file path=xl/sharedStrings.xml><?xml version="1.0" encoding="utf-8"?>
<sst xmlns="http://schemas.openxmlformats.org/spreadsheetml/2006/main" count="347" uniqueCount="76">
  <si>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</si>
  <si>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</si>
  <si>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</si>
  <si>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</si>
  <si>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</si>
  <si>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</si>
  <si>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</si>
  <si>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</si>
  <si>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</si>
  <si>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</si>
  <si>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</si>
  <si>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</si>
  <si>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Création html</t>
  </si>
  <si>
    <t>Affichage</t>
  </si>
  <si>
    <t>Design css</t>
  </si>
  <si>
    <t>Metier</t>
  </si>
  <si>
    <t>checkLogin</t>
  </si>
  <si>
    <t>Integration</t>
  </si>
  <si>
    <t>table login</t>
  </si>
  <si>
    <t>données test</t>
  </si>
  <si>
    <t>Liste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</si>
  <si>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</si>
  <si>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</si>
  <si>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</si>
  <si>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</si>
  <si>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</si>
  <si>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</si>
  <si>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</si>
  <si>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</si>
  <si>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</si>
  <si>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</si>
  <si>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</si>
  <si>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</si>
  <si>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</si>
  <si>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ETU003526</t>
  </si>
  <si>
    <t>ETU003588</t>
  </si>
  <si>
    <t>ETU003606</t>
  </si>
  <si>
    <t>ETU003664</t>
  </si>
  <si>
    <t>Tia</t>
  </si>
  <si>
    <t>Narindra</t>
  </si>
  <si>
    <t>Toky</t>
  </si>
  <si>
    <t>Andy</t>
  </si>
  <si>
    <t>Authentification</t>
  </si>
  <si>
    <t>API</t>
  </si>
  <si>
    <t>Configuration</t>
  </si>
  <si>
    <t>Gestion Clients</t>
  </si>
  <si>
    <t>Statistiques</t>
  </si>
  <si>
    <t>login</t>
  </si>
  <si>
    <t>SignUp</t>
  </si>
  <si>
    <t>Migration&amp;Modeles</t>
  </si>
  <si>
    <t>BDD</t>
  </si>
  <si>
    <t>Routes&amp;Middleware</t>
  </si>
  <si>
    <t>API Auth</t>
  </si>
  <si>
    <t>Liste clients</t>
  </si>
  <si>
    <t>Détail client</t>
  </si>
  <si>
    <t>Métier</t>
  </si>
  <si>
    <t>Dashboard (chiffre affaires)</t>
  </si>
  <si>
    <t>Dashboard (nb clients)</t>
  </si>
  <si>
    <t>Mobile</t>
  </si>
  <si>
    <t>Inscription</t>
  </si>
  <si>
    <t>Connexion</t>
  </si>
  <si>
    <t>Gestion Voitures</t>
  </si>
  <si>
    <t>Liste voitures à réparer</t>
  </si>
  <si>
    <t>Détail voiture + panne</t>
  </si>
  <si>
    <t>Gestion Réparations</t>
  </si>
  <si>
    <t>Interface réparation (boutons)</t>
  </si>
  <si>
    <t>Démarrer réparation</t>
  </si>
  <si>
    <t>Base</t>
  </si>
  <si>
    <t>Détails pou for SUM of Estimation - Qui : ETU003606</t>
  </si>
  <si>
    <t>listClient</t>
  </si>
  <si>
    <t>Dashoard</t>
  </si>
  <si>
    <t>Login</t>
  </si>
  <si>
    <t>ListCar</t>
  </si>
  <si>
    <t>Reparations</t>
  </si>
  <si>
    <t>Détails pou for SUM of Temps passé - Qui : ETU003664</t>
  </si>
  <si>
    <t>Détails pou for SUM of Estimation - Qui : ETU003526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</si>
</sst>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Arial"/>
      <family val="2"/>
    </font>
    <font>
      <sz val="8"/>
      <color theme="1"/>
      <name val="Liberation Serif"/>
    </font>
    <font>
      <b/>
      <sz val="10"/>
      <color theme="1"/>
      <name val="Arial"/>
      <family val="2"/>
    </font>
    <font>
      <sz val="8"/>
      <name val="Arial"/>
      <scheme val="minor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0" xfId="0" applyFont="1"/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right"/>
    </xf>
    <xf numFmtId="9" fontId="18" fillId="0" borderId="1" xfId="1" applyFont="1" applyBorder="1" applyAlignment="1">
      <alignment horizontal="right"/>
    </xf>
    <xf numFmtId="10" fontId="18" fillId="0" borderId="1" xfId="0" applyNumberFormat="1" applyFont="1" applyBorder="1" applyAlignment="1">
      <alignment horizontal="right"/>
    </xf>
    <xf numFmtId="0" fontId="20" fillId="0" borderId="0" xfId="0" applyFont="1"/>
    <xf numFmtId="0" fontId="14" fillId="0" borderId="3" xfId="0" applyFont="1" applyBorder="1"/>
    <xf numFmtId="0" fontId="14" fillId="0" borderId="3" xfId="0" applyFont="1" applyBorder="1" applyAlignment="1">
      <alignment horizontal="right"/>
    </xf>
    <xf numFmtId="0" fontId="0" fillId="0" borderId="4" xfId="0" applyBorder="1"/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nuela Narindra" refreshedDate="46049.728377199077" refreshedVersion="8" recordCount="32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9">
        <s v="ETU003664"/>
        <s v="ETU003588"/>
        <s v="ETU003606"/>
        <s v="ETU003526"/>
        <m/>
        <s v="ETU00YYYY" u="1"/>
        <s v="ETU00XXXX" u="1"/>
        <s v="ETU00ZZZZ" u="1"/>
        <s v="ETU00WWWW" u="1"/>
      </sharedItems>
    </cacheField>
    <cacheField name="Estimation" numFmtId="0">
      <sharedItems containsString="0" containsBlank="1" containsNumber="1" containsInteger="1" minValue="10" maxValue="30"/>
    </cacheField>
    <cacheField name="Temps passé" numFmtId="0">
      <sharedItems containsString="0" containsBlank="1" containsNumber="1" containsInteger="1" minValue="10" maxValue="20"/>
    </cacheField>
    <cacheField name="Reste à faire" numFmtId="0">
      <sharedItems containsString="0" containsBlank="1" containsNumber="1" containsInteger="1" minValue="0" maxValue="10"/>
    </cacheField>
    <cacheField name="Avancement" numFmtId="0">
      <sharedItems containsString="0" containsBlank="1" containsNumber="1" minValue="0.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Backoffice"/>
    <s v="Authentification"/>
    <s v="login"/>
    <s v="Création html"/>
    <s v="Affichage"/>
    <x v="0"/>
    <n v="20"/>
    <n v="20"/>
    <n v="0"/>
    <n v="1"/>
  </r>
  <r>
    <s v="Backoffice"/>
    <s v="Authentification"/>
    <s v="login"/>
    <s v="Design css"/>
    <s v="Metier"/>
    <x v="0"/>
    <n v="20"/>
    <n v="20"/>
    <n v="0"/>
    <n v="1"/>
  </r>
  <r>
    <s v="Backoffice"/>
    <s v="Authentification"/>
    <s v="login"/>
    <s v="checkLogin"/>
    <s v="Integration"/>
    <x v="0"/>
    <n v="30"/>
    <n v="20"/>
    <n v="10"/>
    <n v="0.66666666666666663"/>
  </r>
  <r>
    <s v="Backoffice"/>
    <s v="Authentification"/>
    <s v="SignUp"/>
    <s v="table login"/>
    <s v="Affichage"/>
    <x v="1"/>
    <n v="20"/>
    <n v="20"/>
    <n v="0"/>
    <n v="1"/>
  </r>
  <r>
    <s v="Backoffice"/>
    <s v="Authentification"/>
    <s v="SignUp"/>
    <s v="données test"/>
    <s v="Metier"/>
    <x v="1"/>
    <n v="20"/>
    <n v="20"/>
    <n v="0"/>
    <n v="1"/>
  </r>
  <r>
    <s v="Backoffice"/>
    <s v="Authentification"/>
    <s v="SignUp"/>
    <s v="Liste"/>
    <s v="Integration"/>
    <x v="1"/>
    <n v="20"/>
    <n v="20"/>
    <n v="0"/>
    <n v="1"/>
  </r>
  <r>
    <s v="API"/>
    <s v="Configuration"/>
    <m/>
    <s v="Migration&amp;Modeles"/>
    <s v="BDD"/>
    <x v="2"/>
    <n v="15"/>
    <n v="15"/>
    <n v="0"/>
    <n v="1"/>
  </r>
  <r>
    <s v="API"/>
    <s v="Configuration"/>
    <m/>
    <s v="Routes&amp;Middleware"/>
    <s v="Configuration"/>
    <x v="2"/>
    <n v="20"/>
    <n v="15"/>
    <n v="5"/>
    <n v="0.75"/>
  </r>
  <r>
    <s v="API"/>
    <s v="Authentification"/>
    <m/>
    <s v="API Auth"/>
    <s v="API"/>
    <x v="2"/>
    <n v="20"/>
    <n v="10"/>
    <n v="10"/>
    <n v="0.5"/>
  </r>
  <r>
    <s v="Backoffice"/>
    <s v="Gestion Clients"/>
    <s v="listClient"/>
    <s v="Liste clients"/>
    <s v="Affichage"/>
    <x v="3"/>
    <n v="15"/>
    <n v="15"/>
    <n v="0"/>
    <n v="1"/>
  </r>
  <r>
    <s v="Backoffice"/>
    <s v="Gestion Clients"/>
    <s v="listClient"/>
    <s v="Liste clients"/>
    <s v="Metier"/>
    <x v="3"/>
    <n v="20"/>
    <n v="20"/>
    <n v="0"/>
    <n v="1"/>
  </r>
  <r>
    <s v="Backoffice"/>
    <s v="Gestion Clients"/>
    <s v="listClient"/>
    <s v="Liste clients"/>
    <s v="Integration"/>
    <x v="3"/>
    <n v="15"/>
    <n v="10"/>
    <n v="5"/>
    <n v="0.66666666666666663"/>
  </r>
  <r>
    <s v="Backoffice"/>
    <s v="Gestion Clients"/>
    <s v="listClient"/>
    <s v="Détail client"/>
    <s v="Affichage"/>
    <x v="3"/>
    <n v="15"/>
    <n v="15"/>
    <n v="0"/>
    <n v="1"/>
  </r>
  <r>
    <s v="Backoffice"/>
    <s v="Gestion Clients"/>
    <s v="listClient"/>
    <s v="Détail client"/>
    <s v="Métier"/>
    <x v="3"/>
    <n v="15"/>
    <n v="12"/>
    <n v="3"/>
    <n v="0.8"/>
  </r>
  <r>
    <s v="Backoffice"/>
    <s v="Statistiques"/>
    <s v="Dashoard"/>
    <s v="Dashboard (chiffre affaires)"/>
    <s v="Affichage"/>
    <x v="0"/>
    <n v="20"/>
    <n v="20"/>
    <n v="0"/>
    <n v="1"/>
  </r>
  <r>
    <s v="Backoffice"/>
    <s v="Statistiques"/>
    <s v="Dashoard"/>
    <s v="Dashboard (chiffre affaires)"/>
    <s v="Métier"/>
    <x v="0"/>
    <n v="20"/>
    <n v="20"/>
    <n v="0"/>
    <n v="1"/>
  </r>
  <r>
    <s v="Backoffice"/>
    <s v="Statistiques"/>
    <s v="Dashoard"/>
    <s v="Dashboard (nb clients)"/>
    <s v="Affichage"/>
    <x v="2"/>
    <n v="15"/>
    <n v="10"/>
    <n v="5"/>
    <n v="0.66666666666666663"/>
  </r>
  <r>
    <s v="Backoffice"/>
    <s v="Statistiques"/>
    <s v="Dashoard"/>
    <s v="Dashboard (nb clients)"/>
    <s v="Métier"/>
    <x v="2"/>
    <n v="20"/>
    <n v="10"/>
    <n v="5"/>
    <n v="0.5"/>
  </r>
  <r>
    <s v="Mobile"/>
    <s v="Authentification"/>
    <s v="SignUp"/>
    <s v="Inscription"/>
    <s v="Base"/>
    <x v="1"/>
    <n v="15"/>
    <n v="12"/>
    <n v="3"/>
    <n v="0.8"/>
  </r>
  <r>
    <s v="Mobile"/>
    <s v="Authentification"/>
    <s v="SignUp"/>
    <s v="Inscription"/>
    <s v="Métier"/>
    <x v="1"/>
    <n v="20"/>
    <n v="16"/>
    <n v="4"/>
    <n v="0.8"/>
  </r>
  <r>
    <s v="Mobile"/>
    <s v="Authentification"/>
    <s v="login"/>
    <s v="Connexion"/>
    <s v="Affichage"/>
    <x v="3"/>
    <n v="10"/>
    <n v="10"/>
    <n v="0"/>
    <n v="1"/>
  </r>
  <r>
    <s v="Mobile"/>
    <s v="Authentification"/>
    <s v="login"/>
    <s v="Connexion"/>
    <s v="Métier"/>
    <x v="3"/>
    <n v="20"/>
    <n v="20"/>
    <n v="0"/>
    <n v="1"/>
  </r>
  <r>
    <s v="Mobile"/>
    <s v="Gestion Voitures"/>
    <s v="ListCar"/>
    <s v="Liste voitures à réparer"/>
    <s v="Affichage"/>
    <x v="2"/>
    <n v="10"/>
    <n v="10"/>
    <n v="0"/>
    <n v="1"/>
  </r>
  <r>
    <s v="Mobile"/>
    <s v="Gestion Voitures"/>
    <s v="ListCar"/>
    <s v="Liste voitures à réparer"/>
    <s v="Métier"/>
    <x v="2"/>
    <n v="15"/>
    <n v="15"/>
    <n v="0"/>
    <n v="1"/>
  </r>
  <r>
    <s v="Mobile"/>
    <s v="Gestion Voitures"/>
    <s v="ListCar"/>
    <s v="Détail voiture + panne"/>
    <s v="Affichage"/>
    <x v="2"/>
    <n v="10"/>
    <n v="10"/>
    <n v="0"/>
    <n v="1"/>
  </r>
  <r>
    <s v="Mobile"/>
    <s v="Gestion Réparations"/>
    <s v="Reparations"/>
    <s v="Interface réparation (boutons)"/>
    <s v="Affichage"/>
    <x v="1"/>
    <n v="15"/>
    <n v="15"/>
    <n v="0"/>
    <n v="1"/>
  </r>
  <r>
    <s v="Mobile"/>
    <s v="Gestion Réparations"/>
    <s v="Reparations"/>
    <s v="Démarrer réparation"/>
    <s v="Métier"/>
    <x v="1"/>
    <n v="10"/>
    <n v="10"/>
    <n v="0"/>
    <n v="1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10">
        <item x="3"/>
        <item x="1"/>
        <item x="2"/>
        <item x="0"/>
        <item h="1" m="1" x="8"/>
        <item h="1" m="1" x="6"/>
        <item h="1" m="1" x="5"/>
        <item h="1" m="1" x="7"/>
        <item x="4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B067B-3AA6-40F3-91E8-7E69DBB7C316}" name="Tableau1" displayName="Tableau1" ref="A3:J7" totalsRowShown="0">
  <autoFilter ref="A3:J7" xr:uid="{0D8B067B-3AA6-40F3-91E8-7E69DBB7C316}"/>
  <tableColumns count="10">
    <tableColumn id="1" xr3:uid="{ABC04009-7496-405B-A71E-A5E7C6D60949}" name="Catégorie"/>
    <tableColumn id="2" xr3:uid="{A44CDE95-8B5E-4F63-A3F1-9786CD8216C9}" name="Module"/>
    <tableColumn id="3" xr3:uid="{52CC8569-9615-44A3-AF86-41512C505004}" name="Page"/>
    <tableColumn id="4" xr3:uid="{5740E4D5-046D-4654-95CD-7C9F8B975C51}" name="Description tâche"/>
    <tableColumn id="5" xr3:uid="{8D772961-D84F-4DE7-848B-0C1028E80829}" name="Type"/>
    <tableColumn id="6" xr3:uid="{BD43C9DD-FA7A-4799-8223-79C3C28E4FD4}" name="Qui"/>
    <tableColumn id="7" xr3:uid="{A300282D-FE11-4AEF-8190-D5F192D71A08}" name="Estimation"/>
    <tableColumn id="8" xr3:uid="{5F024C73-5323-49A8-A03E-0C712E89E693}" name="Temps passé"/>
    <tableColumn id="9" xr3:uid="{608A96E7-B8DF-4870-873A-40F7C575CE66}" name="Reste à faire"/>
    <tableColumn id="10" xr3:uid="{0B320A6B-81B9-4A10-85DA-241164539BD5}" name="Avanc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65BA53-1321-438D-B60F-A5FC6F01D517}" name="Tableau2" displayName="Tableau2" ref="A3:J10" totalsRowShown="0">
  <autoFilter ref="A3:J10" xr:uid="{FC65BA53-1321-438D-B60F-A5FC6F01D517}"/>
  <tableColumns count="10">
    <tableColumn id="1" xr3:uid="{FC963A3A-F8F5-4F9C-ABCB-9E1A65A4D799}" name="Catégorie"/>
    <tableColumn id="2" xr3:uid="{0938E5EC-2DDD-438C-A589-33293C29F29B}" name="Module"/>
    <tableColumn id="3" xr3:uid="{FE494DBA-D371-4309-9F46-1BF65FD45273}" name="Page"/>
    <tableColumn id="4" xr3:uid="{F6170FB0-1E83-4045-BFC6-2CD7F7842F51}" name="Description tâche"/>
    <tableColumn id="5" xr3:uid="{7CA835B8-44EC-47BE-B37C-55C9041B845A}" name="Type"/>
    <tableColumn id="6" xr3:uid="{226A5E59-E759-404B-BDB4-431D6E9D372C}" name="Qui"/>
    <tableColumn id="7" xr3:uid="{02044975-72A5-4473-8DB8-1C083C285CBE}" name="Estimation"/>
    <tableColumn id="8" xr3:uid="{FF66B87E-D9BE-4EAC-89FA-F0919601C1AD}" name="Temps passé"/>
    <tableColumn id="9" xr3:uid="{4405ACA9-AB52-4391-886D-9C38E10B1CF8}" name="Reste à faire"/>
    <tableColumn id="10" xr3:uid="{D135056D-6B60-4856-8F35-D401AAE94865}" name="Avanc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33327D-7463-43E0-BCB0-340ECA4BF856}" name="Tableau3" displayName="Tableau3" ref="A3:J12" totalsRowShown="0">
  <autoFilter ref="A3:J12" xr:uid="{C533327D-7463-43E0-BCB0-340ECA4BF856}"/>
  <tableColumns count="10">
    <tableColumn id="1" xr3:uid="{2721EA0D-0B5B-43CC-AAEB-85BB6F81D480}" name="Catégorie"/>
    <tableColumn id="2" xr3:uid="{3A1FB8C9-4787-463F-82C8-52D3B7EC904E}" name="Module"/>
    <tableColumn id="3" xr3:uid="{AE593473-F3ED-42E0-8F1D-ABC26FCBF2FA}" name="Page"/>
    <tableColumn id="4" xr3:uid="{79C774E2-28A7-4911-8F12-573AC46FB583}" name="Description tâche"/>
    <tableColumn id="5" xr3:uid="{7775B67B-D889-40A5-B041-DD7F4F8BBE75}" name="Type"/>
    <tableColumn id="6" xr3:uid="{C6037893-7E59-4F7A-BBE3-0DE2EA4121C6}" name="Qui"/>
    <tableColumn id="7" xr3:uid="{F6DD5465-FDD7-404A-82B2-F1D39DC1C53E}" name="Estimation"/>
    <tableColumn id="8" xr3:uid="{FCA436B1-5492-45E9-8CA1-5FD1D6E412A6}" name="Temps passé"/>
    <tableColumn id="9" xr3:uid="{415CF734-9C3B-4C2C-A695-3FC69F8EF31C}" name="Reste à faire"/>
    <tableColumn id="10" xr3:uid="{F4664B05-5188-4DAC-A9CB-CC5B4EA85F4B}" name="Avanc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4" sqref="B4"/>
    </sheetView>
  </sheetViews>
  <sheetFormatPr baseColWidth="10" defaultColWidth="12.5703125" defaultRowHeight="15.75" customHeight="1"/>
  <sheetData>
    <row r="1" spans="1:2">
      <c r="A1" s="1" t="s">
        <v>34</v>
      </c>
      <c r="B1" s="1" t="s">
        <v>38</v>
      </c>
    </row>
    <row r="2" spans="1:2">
      <c r="A2" s="1" t="s">
        <v>35</v>
      </c>
      <c r="B2" s="1" t="s">
        <v>39</v>
      </c>
    </row>
    <row r="3" spans="1:2">
      <c r="A3" s="1" t="s">
        <v>36</v>
      </c>
      <c r="B3" s="1" t="s">
        <v>40</v>
      </c>
    </row>
    <row r="4" spans="1:2">
      <c r="A4" s="1" t="s">
        <v>37</v>
      </c>
      <c r="B4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40EC-C873-461D-B57E-323D9C45C6CC}">
  <dimension ref="A1:J7"/>
  <sheetViews>
    <sheetView workbookViewId="0">
      <selection activeCell="C11" sqref="C11"/>
    </sheetView>
  </sheetViews>
  <sheetFormatPr baseColWidth="10" defaultRowHeight="12.75"/>
  <cols>
    <col min="1" max="1" width="12.140625" bestFit="1" customWidth="1"/>
    <col min="2" max="2" width="13.7109375" bestFit="1" customWidth="1"/>
    <col min="3" max="3" width="11.5703125" bestFit="1" customWidth="1"/>
    <col min="4" max="4" width="23.140625" bestFit="1" customWidth="1"/>
    <col min="5" max="5" width="11.7109375" bestFit="1" customWidth="1"/>
    <col min="6" max="6" width="11.5703125" bestFit="1" customWidth="1"/>
    <col min="7" max="7" width="12.7109375" bestFit="1" customWidth="1"/>
    <col min="8" max="8" width="15" bestFit="1" customWidth="1"/>
    <col min="9" max="9" width="14.7109375" bestFit="1" customWidth="1"/>
    <col min="10" max="10" width="14.5703125" bestFit="1" customWidth="1"/>
  </cols>
  <sheetData>
    <row r="1" spans="1:10">
      <c r="A1" s="30" t="s">
        <v>68</v>
      </c>
    </row>
    <row r="3" spans="1:1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>
      <c r="A4" t="s">
        <v>11</v>
      </c>
      <c r="B4" t="s">
        <v>46</v>
      </c>
      <c r="D4" t="s">
        <v>56</v>
      </c>
      <c r="E4" t="s">
        <v>13</v>
      </c>
      <c r="F4" t="s">
        <v>36</v>
      </c>
      <c r="G4">
        <v>20</v>
      </c>
      <c r="H4">
        <v>20</v>
      </c>
      <c r="I4">
        <v>0</v>
      </c>
      <c r="J4">
        <v>1</v>
      </c>
    </row>
    <row r="5" spans="1:10">
      <c r="A5" t="s">
        <v>43</v>
      </c>
      <c r="B5" t="s">
        <v>42</v>
      </c>
      <c r="D5" t="s">
        <v>52</v>
      </c>
      <c r="E5" t="s">
        <v>43</v>
      </c>
      <c r="F5" t="s">
        <v>36</v>
      </c>
      <c r="G5">
        <v>30</v>
      </c>
      <c r="H5">
        <v>30</v>
      </c>
      <c r="I5">
        <v>0</v>
      </c>
      <c r="J5">
        <v>1</v>
      </c>
    </row>
    <row r="6" spans="1:10">
      <c r="A6" t="s">
        <v>43</v>
      </c>
      <c r="B6" t="s">
        <v>44</v>
      </c>
      <c r="D6" t="s">
        <v>51</v>
      </c>
      <c r="E6" t="s">
        <v>44</v>
      </c>
      <c r="F6" t="s">
        <v>36</v>
      </c>
      <c r="G6">
        <v>30</v>
      </c>
      <c r="H6">
        <v>30</v>
      </c>
      <c r="I6">
        <v>0</v>
      </c>
      <c r="J6">
        <v>1</v>
      </c>
    </row>
    <row r="7" spans="1:10">
      <c r="A7" t="s">
        <v>43</v>
      </c>
      <c r="B7" t="s">
        <v>44</v>
      </c>
      <c r="D7" t="s">
        <v>49</v>
      </c>
      <c r="E7" t="s">
        <v>50</v>
      </c>
      <c r="F7" t="s">
        <v>36</v>
      </c>
      <c r="G7">
        <v>30</v>
      </c>
      <c r="H7">
        <v>30</v>
      </c>
      <c r="I7">
        <v>0</v>
      </c>
      <c r="J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7449-E20B-40B4-B9E3-FA8EE6996400}">
  <dimension ref="A1:J10"/>
  <sheetViews>
    <sheetView workbookViewId="0">
      <selection activeCell="A3" sqref="A3:J10"/>
    </sheetView>
  </sheetViews>
  <sheetFormatPr baseColWidth="10" defaultRowHeight="12.75"/>
  <cols>
    <col min="1" max="1" width="12.140625" bestFit="1" customWidth="1"/>
    <col min="2" max="2" width="13.7109375" bestFit="1" customWidth="1"/>
    <col min="3" max="3" width="11.5703125" bestFit="1" customWidth="1"/>
    <col min="4" max="4" width="23.140625" bestFit="1" customWidth="1"/>
    <col min="5" max="6" width="11.5703125" bestFit="1" customWidth="1"/>
    <col min="7" max="7" width="12.7109375" bestFit="1" customWidth="1"/>
    <col min="8" max="8" width="15" bestFit="1" customWidth="1"/>
    <col min="9" max="9" width="14.7109375" bestFit="1" customWidth="1"/>
    <col min="10" max="10" width="14.5703125" bestFit="1" customWidth="1"/>
  </cols>
  <sheetData>
    <row r="1" spans="1:10">
      <c r="A1" s="30" t="s">
        <v>74</v>
      </c>
    </row>
    <row r="3" spans="1:1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>
      <c r="A4" t="s">
        <v>11</v>
      </c>
      <c r="B4" t="s">
        <v>42</v>
      </c>
      <c r="C4" t="s">
        <v>47</v>
      </c>
      <c r="D4" t="s">
        <v>12</v>
      </c>
      <c r="E4" t="s">
        <v>13</v>
      </c>
      <c r="F4" t="s">
        <v>37</v>
      </c>
      <c r="G4">
        <v>20</v>
      </c>
      <c r="H4">
        <v>20</v>
      </c>
      <c r="I4">
        <v>0</v>
      </c>
      <c r="J4">
        <v>1</v>
      </c>
    </row>
    <row r="5" spans="1:10">
      <c r="A5" t="s">
        <v>11</v>
      </c>
      <c r="B5" t="s">
        <v>42</v>
      </c>
      <c r="C5" t="s">
        <v>47</v>
      </c>
      <c r="D5" t="s">
        <v>14</v>
      </c>
      <c r="E5" t="s">
        <v>15</v>
      </c>
      <c r="F5" t="s">
        <v>37</v>
      </c>
      <c r="G5">
        <v>20</v>
      </c>
      <c r="H5">
        <v>20</v>
      </c>
      <c r="I5">
        <v>0</v>
      </c>
      <c r="J5">
        <v>1</v>
      </c>
    </row>
    <row r="6" spans="1:10">
      <c r="A6" t="s">
        <v>11</v>
      </c>
      <c r="B6" t="s">
        <v>42</v>
      </c>
      <c r="C6" t="s">
        <v>47</v>
      </c>
      <c r="D6" t="s">
        <v>16</v>
      </c>
      <c r="E6" t="s">
        <v>17</v>
      </c>
      <c r="F6" t="s">
        <v>37</v>
      </c>
      <c r="G6">
        <v>30</v>
      </c>
      <c r="H6">
        <v>20</v>
      </c>
      <c r="I6">
        <v>10</v>
      </c>
      <c r="J6">
        <v>0.66666666666666663</v>
      </c>
    </row>
    <row r="7" spans="1:10">
      <c r="A7" t="s">
        <v>11</v>
      </c>
      <c r="B7" t="s">
        <v>46</v>
      </c>
      <c r="C7" t="s">
        <v>70</v>
      </c>
      <c r="D7" t="s">
        <v>57</v>
      </c>
      <c r="E7" t="s">
        <v>55</v>
      </c>
      <c r="F7" t="s">
        <v>37</v>
      </c>
      <c r="G7">
        <v>10</v>
      </c>
      <c r="H7">
        <v>10</v>
      </c>
      <c r="I7">
        <v>0</v>
      </c>
      <c r="J7">
        <v>1</v>
      </c>
    </row>
    <row r="8" spans="1:10">
      <c r="A8" t="s">
        <v>11</v>
      </c>
      <c r="B8" t="s">
        <v>46</v>
      </c>
      <c r="C8" t="s">
        <v>70</v>
      </c>
      <c r="D8" t="s">
        <v>57</v>
      </c>
      <c r="E8" t="s">
        <v>13</v>
      </c>
      <c r="F8" t="s">
        <v>37</v>
      </c>
      <c r="G8">
        <v>15</v>
      </c>
      <c r="H8">
        <v>10</v>
      </c>
      <c r="I8">
        <v>5</v>
      </c>
      <c r="J8">
        <v>0.66666666666666663</v>
      </c>
    </row>
    <row r="9" spans="1:10">
      <c r="A9" t="s">
        <v>11</v>
      </c>
      <c r="B9" t="s">
        <v>46</v>
      </c>
      <c r="C9" t="s">
        <v>70</v>
      </c>
      <c r="D9" t="s">
        <v>56</v>
      </c>
      <c r="E9" t="s">
        <v>55</v>
      </c>
      <c r="F9" t="s">
        <v>37</v>
      </c>
      <c r="G9">
        <v>20</v>
      </c>
      <c r="H9">
        <v>20</v>
      </c>
      <c r="I9">
        <v>0</v>
      </c>
      <c r="J9">
        <v>1</v>
      </c>
    </row>
    <row r="10" spans="1:10">
      <c r="A10" t="s">
        <v>11</v>
      </c>
      <c r="B10" t="s">
        <v>46</v>
      </c>
      <c r="C10" t="s">
        <v>70</v>
      </c>
      <c r="D10" t="s">
        <v>56</v>
      </c>
      <c r="E10" t="s">
        <v>13</v>
      </c>
      <c r="F10" t="s">
        <v>37</v>
      </c>
      <c r="G10">
        <v>20</v>
      </c>
      <c r="H10">
        <v>20</v>
      </c>
      <c r="I10">
        <v>0</v>
      </c>
      <c r="J10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3C51-B17E-4152-ACF0-6080FD1BEACE}">
  <dimension ref="A1:J12"/>
  <sheetViews>
    <sheetView workbookViewId="0">
      <selection activeCell="H21" sqref="H21"/>
    </sheetView>
  </sheetViews>
  <sheetFormatPr baseColWidth="10" defaultRowHeight="12.75"/>
  <cols>
    <col min="1" max="1" width="12.140625" bestFit="1" customWidth="1"/>
    <col min="2" max="2" width="13.7109375" bestFit="1" customWidth="1"/>
    <col min="3" max="3" width="11.5703125" bestFit="1" customWidth="1"/>
    <col min="4" max="4" width="19.140625" bestFit="1" customWidth="1"/>
    <col min="5" max="6" width="11.5703125" bestFit="1" customWidth="1"/>
    <col min="7" max="7" width="12.7109375" bestFit="1" customWidth="1"/>
    <col min="8" max="8" width="15" bestFit="1" customWidth="1"/>
    <col min="9" max="9" width="14.7109375" bestFit="1" customWidth="1"/>
    <col min="10" max="10" width="14.5703125" bestFit="1" customWidth="1"/>
  </cols>
  <sheetData>
    <row r="1" spans="1:10">
      <c r="A1" s="30" t="s">
        <v>75</v>
      </c>
    </row>
    <row r="3" spans="1:1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>
      <c r="A4" t="s">
        <v>58</v>
      </c>
      <c r="B4" t="s">
        <v>42</v>
      </c>
      <c r="C4" t="s">
        <v>47</v>
      </c>
      <c r="D4" t="s">
        <v>60</v>
      </c>
      <c r="E4" t="s">
        <v>55</v>
      </c>
      <c r="F4" t="s">
        <v>34</v>
      </c>
    </row>
    <row r="5" spans="1:10">
      <c r="A5" t="s">
        <v>58</v>
      </c>
      <c r="B5" t="s">
        <v>42</v>
      </c>
      <c r="C5" t="s">
        <v>47</v>
      </c>
      <c r="D5" t="s">
        <v>60</v>
      </c>
      <c r="E5" t="s">
        <v>13</v>
      </c>
      <c r="F5" t="s">
        <v>34</v>
      </c>
    </row>
    <row r="6" spans="1:10">
      <c r="A6" t="s">
        <v>58</v>
      </c>
      <c r="B6" t="s">
        <v>42</v>
      </c>
      <c r="C6" t="s">
        <v>48</v>
      </c>
      <c r="D6" t="s">
        <v>59</v>
      </c>
      <c r="E6" t="s">
        <v>55</v>
      </c>
      <c r="F6" t="s">
        <v>34</v>
      </c>
    </row>
    <row r="7" spans="1:10">
      <c r="A7" t="s">
        <v>58</v>
      </c>
      <c r="B7" t="s">
        <v>42</v>
      </c>
      <c r="C7" t="s">
        <v>48</v>
      </c>
      <c r="D7" t="s">
        <v>59</v>
      </c>
      <c r="E7" t="s">
        <v>67</v>
      </c>
      <c r="F7" t="s">
        <v>34</v>
      </c>
    </row>
    <row r="8" spans="1:10">
      <c r="A8" t="s">
        <v>11</v>
      </c>
      <c r="B8" t="s">
        <v>45</v>
      </c>
      <c r="C8" t="s">
        <v>69</v>
      </c>
      <c r="D8" t="s">
        <v>54</v>
      </c>
      <c r="E8" t="s">
        <v>55</v>
      </c>
      <c r="F8" t="s">
        <v>34</v>
      </c>
      <c r="G8">
        <v>15</v>
      </c>
      <c r="H8">
        <v>12</v>
      </c>
      <c r="I8">
        <v>3</v>
      </c>
      <c r="J8">
        <v>0.8</v>
      </c>
    </row>
    <row r="9" spans="1:10">
      <c r="A9" t="s">
        <v>11</v>
      </c>
      <c r="B9" t="s">
        <v>45</v>
      </c>
      <c r="C9" t="s">
        <v>69</v>
      </c>
      <c r="D9" t="s">
        <v>54</v>
      </c>
      <c r="E9" t="s">
        <v>13</v>
      </c>
      <c r="F9" t="s">
        <v>34</v>
      </c>
      <c r="G9">
        <v>15</v>
      </c>
      <c r="H9">
        <v>15</v>
      </c>
      <c r="I9">
        <v>0</v>
      </c>
      <c r="J9">
        <v>1</v>
      </c>
    </row>
    <row r="10" spans="1:10">
      <c r="A10" t="s">
        <v>11</v>
      </c>
      <c r="B10" t="s">
        <v>45</v>
      </c>
      <c r="C10" t="s">
        <v>69</v>
      </c>
      <c r="D10" t="s">
        <v>53</v>
      </c>
      <c r="E10" t="s">
        <v>17</v>
      </c>
      <c r="F10" t="s">
        <v>34</v>
      </c>
      <c r="G10">
        <v>15</v>
      </c>
      <c r="H10">
        <v>10</v>
      </c>
      <c r="I10">
        <v>5</v>
      </c>
      <c r="J10">
        <v>0.66666666666666663</v>
      </c>
    </row>
    <row r="11" spans="1:10">
      <c r="A11" t="s">
        <v>11</v>
      </c>
      <c r="B11" t="s">
        <v>45</v>
      </c>
      <c r="C11" t="s">
        <v>69</v>
      </c>
      <c r="D11" t="s">
        <v>53</v>
      </c>
      <c r="E11" t="s">
        <v>15</v>
      </c>
      <c r="F11" t="s">
        <v>34</v>
      </c>
      <c r="G11">
        <v>20</v>
      </c>
      <c r="H11">
        <v>20</v>
      </c>
      <c r="I11">
        <v>0</v>
      </c>
      <c r="J11">
        <v>1</v>
      </c>
    </row>
    <row r="12" spans="1:10">
      <c r="A12" t="s">
        <v>11</v>
      </c>
      <c r="B12" t="s">
        <v>45</v>
      </c>
      <c r="C12" t="s">
        <v>69</v>
      </c>
      <c r="D12" t="s">
        <v>53</v>
      </c>
      <c r="E12" t="s">
        <v>13</v>
      </c>
      <c r="F12" t="s">
        <v>34</v>
      </c>
      <c r="G12">
        <v>15</v>
      </c>
      <c r="H12">
        <v>15</v>
      </c>
      <c r="I12">
        <v>0</v>
      </c>
      <c r="J12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>
      <selection activeCell="D5" sqref="D5"/>
    </sheetView>
  </sheetViews>
  <sheetFormatPr baseColWidth="10" defaultColWidth="12.5703125" defaultRowHeight="15.75" customHeight="1"/>
  <sheetData>
    <row r="1" spans="1:4" ht="12.75">
      <c r="A1" s="33"/>
      <c r="B1" s="34" t="s">
        <v>29</v>
      </c>
      <c r="C1" s="35"/>
      <c r="D1" s="36"/>
    </row>
    <row r="2" spans="1:4" ht="12.75">
      <c r="A2" s="34" t="s">
        <v>6</v>
      </c>
      <c r="B2" s="33" t="s">
        <v>30</v>
      </c>
      <c r="C2" s="37" t="s">
        <v>31</v>
      </c>
      <c r="D2" s="38" t="s">
        <v>32</v>
      </c>
    </row>
    <row r="3" spans="1:4" ht="12.75">
      <c r="A3" s="33" t="s">
        <v>34</v>
      </c>
      <c r="B3" s="41">
        <v>110</v>
      </c>
      <c r="C3" s="42">
        <v>102</v>
      </c>
      <c r="D3" s="43">
        <v>8</v>
      </c>
    </row>
    <row r="4" spans="1:4" ht="12.75">
      <c r="A4" s="39" t="s">
        <v>35</v>
      </c>
      <c r="B4" s="44">
        <v>120</v>
      </c>
      <c r="C4" s="45">
        <v>113</v>
      </c>
      <c r="D4" s="46">
        <v>7</v>
      </c>
    </row>
    <row r="5" spans="1:4" ht="12.75">
      <c r="A5" s="39" t="s">
        <v>36</v>
      </c>
      <c r="B5" s="44">
        <v>125</v>
      </c>
      <c r="C5" s="45">
        <v>95</v>
      </c>
      <c r="D5" s="46">
        <v>25</v>
      </c>
    </row>
    <row r="6" spans="1:4" ht="12.75">
      <c r="A6" s="39" t="s">
        <v>37</v>
      </c>
      <c r="B6" s="44">
        <v>110</v>
      </c>
      <c r="C6" s="45">
        <v>100</v>
      </c>
      <c r="D6" s="46">
        <v>10</v>
      </c>
    </row>
    <row r="7" spans="1:4" ht="12.75">
      <c r="A7" s="39" t="s">
        <v>33</v>
      </c>
      <c r="B7" s="44"/>
      <c r="C7" s="45"/>
      <c r="D7" s="46"/>
    </row>
    <row r="8" spans="1:4" ht="15.75" customHeight="1">
      <c r="A8" s="40" t="s">
        <v>21</v>
      </c>
      <c r="B8" s="47">
        <v>465</v>
      </c>
      <c r="C8" s="48">
        <v>410</v>
      </c>
      <c r="D8" s="49">
        <v>50</v>
      </c>
    </row>
    <row r="12" spans="1:4" ht="12.75">
      <c r="A12" s="10" t="s">
        <v>10</v>
      </c>
      <c r="B12" s="11">
        <f>avancement!D2</f>
        <v>0.89130434782608692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0"/>
  <sheetViews>
    <sheetView workbookViewId="0">
      <selection activeCell="G14" sqref="G14"/>
    </sheetView>
  </sheetViews>
  <sheetFormatPr baseColWidth="10" defaultColWidth="12.5703125" defaultRowHeight="15.75" customHeight="1"/>
  <cols>
    <col min="1" max="1" width="5.85546875" customWidth="1"/>
    <col min="2" max="2" width="19" customWidth="1"/>
    <col min="3" max="3" width="18" customWidth="1"/>
    <col min="5" max="5" width="22" bestFit="1" customWidth="1"/>
  </cols>
  <sheetData>
    <row r="1" spans="1:11" ht="15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2.75">
      <c r="A2" s="5">
        <v>1</v>
      </c>
      <c r="B2" s="22" t="s">
        <v>11</v>
      </c>
      <c r="C2" s="23" t="s">
        <v>42</v>
      </c>
      <c r="D2" s="25" t="s">
        <v>47</v>
      </c>
      <c r="E2" s="7" t="s">
        <v>12</v>
      </c>
      <c r="F2" s="7" t="s">
        <v>13</v>
      </c>
      <c r="G2" t="s">
        <v>37</v>
      </c>
      <c r="H2" s="26">
        <v>20</v>
      </c>
      <c r="I2" s="27">
        <v>20</v>
      </c>
      <c r="J2" s="27">
        <f t="shared" ref="J2:J18" si="0">H2-I2</f>
        <v>0</v>
      </c>
      <c r="K2" s="28">
        <f t="shared" ref="K2:K20" si="1">I2/H2</f>
        <v>1</v>
      </c>
    </row>
    <row r="3" spans="1:11" ht="12.75">
      <c r="A3" s="5">
        <v>2</v>
      </c>
      <c r="B3" s="22" t="s">
        <v>11</v>
      </c>
      <c r="C3" s="23" t="s">
        <v>42</v>
      </c>
      <c r="D3" s="25" t="s">
        <v>47</v>
      </c>
      <c r="E3" s="7" t="s">
        <v>14</v>
      </c>
      <c r="F3" s="7" t="s">
        <v>15</v>
      </c>
      <c r="G3" t="s">
        <v>37</v>
      </c>
      <c r="H3" s="26">
        <v>20</v>
      </c>
      <c r="I3" s="27">
        <v>20</v>
      </c>
      <c r="J3" s="27">
        <f t="shared" si="0"/>
        <v>0</v>
      </c>
      <c r="K3" s="28">
        <f t="shared" si="1"/>
        <v>1</v>
      </c>
    </row>
    <row r="4" spans="1:11" ht="12.75">
      <c r="A4" s="5">
        <v>3</v>
      </c>
      <c r="B4" s="22" t="s">
        <v>11</v>
      </c>
      <c r="C4" s="23" t="s">
        <v>42</v>
      </c>
      <c r="D4" s="25" t="s">
        <v>47</v>
      </c>
      <c r="E4" s="7" t="s">
        <v>16</v>
      </c>
      <c r="F4" s="7" t="s">
        <v>17</v>
      </c>
      <c r="G4" t="s">
        <v>37</v>
      </c>
      <c r="H4" s="26">
        <v>30</v>
      </c>
      <c r="I4" s="27">
        <v>20</v>
      </c>
      <c r="J4" s="27">
        <f t="shared" si="0"/>
        <v>10</v>
      </c>
      <c r="K4" s="28">
        <f t="shared" si="1"/>
        <v>0.66666666666666663</v>
      </c>
    </row>
    <row r="5" spans="1:11" ht="12.75">
      <c r="A5" s="5">
        <v>4</v>
      </c>
      <c r="B5" s="22" t="s">
        <v>11</v>
      </c>
      <c r="C5" s="23" t="s">
        <v>42</v>
      </c>
      <c r="D5" s="25" t="s">
        <v>48</v>
      </c>
      <c r="E5" s="7" t="s">
        <v>18</v>
      </c>
      <c r="F5" s="7" t="s">
        <v>13</v>
      </c>
      <c r="G5" t="s">
        <v>35</v>
      </c>
      <c r="H5" s="26">
        <v>20</v>
      </c>
      <c r="I5" s="27">
        <v>20</v>
      </c>
      <c r="J5" s="27">
        <f t="shared" si="0"/>
        <v>0</v>
      </c>
      <c r="K5" s="28">
        <f t="shared" si="1"/>
        <v>1</v>
      </c>
    </row>
    <row r="6" spans="1:11" ht="12.75">
      <c r="A6" s="5">
        <v>5</v>
      </c>
      <c r="B6" s="22" t="s">
        <v>11</v>
      </c>
      <c r="C6" s="23" t="s">
        <v>42</v>
      </c>
      <c r="D6" s="6" t="s">
        <v>48</v>
      </c>
      <c r="E6" s="7" t="s">
        <v>19</v>
      </c>
      <c r="F6" s="7" t="s">
        <v>15</v>
      </c>
      <c r="G6" t="s">
        <v>35</v>
      </c>
      <c r="H6" s="26">
        <v>20</v>
      </c>
      <c r="I6" s="27">
        <v>20</v>
      </c>
      <c r="J6" s="27">
        <f t="shared" si="0"/>
        <v>0</v>
      </c>
      <c r="K6" s="28">
        <f t="shared" si="1"/>
        <v>1</v>
      </c>
    </row>
    <row r="7" spans="1:11" ht="12.75">
      <c r="A7" s="5">
        <v>6</v>
      </c>
      <c r="B7" s="22" t="s">
        <v>11</v>
      </c>
      <c r="C7" s="23" t="s">
        <v>42</v>
      </c>
      <c r="D7" s="6" t="s">
        <v>48</v>
      </c>
      <c r="E7" s="7" t="s">
        <v>20</v>
      </c>
      <c r="F7" s="7" t="s">
        <v>17</v>
      </c>
      <c r="G7" t="s">
        <v>35</v>
      </c>
      <c r="H7" s="26">
        <v>20</v>
      </c>
      <c r="I7" s="27">
        <v>20</v>
      </c>
      <c r="J7" s="27">
        <f t="shared" si="0"/>
        <v>0</v>
      </c>
      <c r="K7" s="28">
        <f t="shared" si="1"/>
        <v>1</v>
      </c>
    </row>
    <row r="8" spans="1:11" ht="12.75">
      <c r="A8" s="5">
        <v>7</v>
      </c>
      <c r="B8" s="22" t="s">
        <v>43</v>
      </c>
      <c r="C8" s="23" t="s">
        <v>44</v>
      </c>
      <c r="D8" s="6"/>
      <c r="E8" s="24" t="s">
        <v>49</v>
      </c>
      <c r="F8" s="24" t="s">
        <v>50</v>
      </c>
      <c r="G8" t="s">
        <v>36</v>
      </c>
      <c r="H8" s="26">
        <v>15</v>
      </c>
      <c r="I8" s="27">
        <v>15</v>
      </c>
      <c r="J8" s="27">
        <f t="shared" si="0"/>
        <v>0</v>
      </c>
      <c r="K8" s="28">
        <f t="shared" si="1"/>
        <v>1</v>
      </c>
    </row>
    <row r="9" spans="1:11" ht="12.75">
      <c r="A9" s="5">
        <v>8</v>
      </c>
      <c r="B9" s="22" t="s">
        <v>43</v>
      </c>
      <c r="C9" s="23" t="s">
        <v>44</v>
      </c>
      <c r="D9" s="6"/>
      <c r="E9" s="24" t="s">
        <v>51</v>
      </c>
      <c r="F9" s="24" t="s">
        <v>44</v>
      </c>
      <c r="G9" t="s">
        <v>36</v>
      </c>
      <c r="H9" s="26">
        <v>20</v>
      </c>
      <c r="I9" s="27">
        <v>15</v>
      </c>
      <c r="J9" s="27">
        <f t="shared" si="0"/>
        <v>5</v>
      </c>
      <c r="K9" s="28">
        <f t="shared" si="1"/>
        <v>0.75</v>
      </c>
    </row>
    <row r="10" spans="1:11" ht="12.75">
      <c r="A10" s="5">
        <v>9</v>
      </c>
      <c r="B10" s="22" t="s">
        <v>43</v>
      </c>
      <c r="C10" s="23" t="s">
        <v>42</v>
      </c>
      <c r="D10" s="6"/>
      <c r="E10" s="24" t="s">
        <v>52</v>
      </c>
      <c r="F10" s="24" t="s">
        <v>43</v>
      </c>
      <c r="G10" t="s">
        <v>36</v>
      </c>
      <c r="H10" s="26">
        <v>20</v>
      </c>
      <c r="I10" s="27">
        <v>10</v>
      </c>
      <c r="J10" s="27">
        <f t="shared" si="0"/>
        <v>10</v>
      </c>
      <c r="K10" s="28">
        <f t="shared" si="1"/>
        <v>0.5</v>
      </c>
    </row>
    <row r="11" spans="1:11" ht="12.75">
      <c r="A11" s="5">
        <v>10</v>
      </c>
      <c r="B11" s="22" t="s">
        <v>11</v>
      </c>
      <c r="C11" s="23" t="s">
        <v>45</v>
      </c>
      <c r="D11" s="8" t="s">
        <v>69</v>
      </c>
      <c r="E11" s="24" t="s">
        <v>53</v>
      </c>
      <c r="F11" s="24" t="s">
        <v>13</v>
      </c>
      <c r="G11" t="s">
        <v>34</v>
      </c>
      <c r="H11" s="26">
        <v>15</v>
      </c>
      <c r="I11" s="27">
        <v>15</v>
      </c>
      <c r="J11" s="27">
        <f t="shared" si="0"/>
        <v>0</v>
      </c>
      <c r="K11" s="28">
        <f t="shared" si="1"/>
        <v>1</v>
      </c>
    </row>
    <row r="12" spans="1:11" ht="12.75">
      <c r="A12" s="5">
        <v>11</v>
      </c>
      <c r="B12" s="22" t="s">
        <v>11</v>
      </c>
      <c r="C12" s="23" t="s">
        <v>45</v>
      </c>
      <c r="D12" s="8" t="s">
        <v>69</v>
      </c>
      <c r="E12" s="24" t="s">
        <v>53</v>
      </c>
      <c r="F12" s="24" t="s">
        <v>15</v>
      </c>
      <c r="G12" t="s">
        <v>34</v>
      </c>
      <c r="H12" s="26">
        <v>20</v>
      </c>
      <c r="I12" s="27">
        <v>20</v>
      </c>
      <c r="J12" s="27">
        <f t="shared" si="0"/>
        <v>0</v>
      </c>
      <c r="K12" s="28">
        <f t="shared" si="1"/>
        <v>1</v>
      </c>
    </row>
    <row r="13" spans="1:11" ht="12.75">
      <c r="A13" s="5">
        <v>12</v>
      </c>
      <c r="B13" s="22" t="s">
        <v>11</v>
      </c>
      <c r="C13" s="23" t="s">
        <v>45</v>
      </c>
      <c r="D13" s="8" t="s">
        <v>69</v>
      </c>
      <c r="E13" s="24" t="s">
        <v>53</v>
      </c>
      <c r="F13" s="24" t="s">
        <v>17</v>
      </c>
      <c r="G13" t="s">
        <v>34</v>
      </c>
      <c r="H13" s="26">
        <v>15</v>
      </c>
      <c r="I13" s="27">
        <v>10</v>
      </c>
      <c r="J13" s="27">
        <f t="shared" si="0"/>
        <v>5</v>
      </c>
      <c r="K13" s="29">
        <f t="shared" si="1"/>
        <v>0.66666666666666663</v>
      </c>
    </row>
    <row r="14" spans="1:11" ht="12.75">
      <c r="A14" s="5">
        <v>13</v>
      </c>
      <c r="B14" s="22" t="s">
        <v>11</v>
      </c>
      <c r="C14" s="23" t="s">
        <v>45</v>
      </c>
      <c r="D14" s="8" t="s">
        <v>69</v>
      </c>
      <c r="E14" s="24" t="s">
        <v>54</v>
      </c>
      <c r="F14" s="24" t="s">
        <v>13</v>
      </c>
      <c r="G14" t="s">
        <v>34</v>
      </c>
      <c r="H14" s="26">
        <v>15</v>
      </c>
      <c r="I14" s="27">
        <v>15</v>
      </c>
      <c r="J14" s="27">
        <f t="shared" si="0"/>
        <v>0</v>
      </c>
      <c r="K14" s="29">
        <f t="shared" si="1"/>
        <v>1</v>
      </c>
    </row>
    <row r="15" spans="1:11" ht="12.75">
      <c r="A15" s="5">
        <v>14</v>
      </c>
      <c r="B15" s="22" t="s">
        <v>11</v>
      </c>
      <c r="C15" s="23" t="s">
        <v>45</v>
      </c>
      <c r="D15" s="8" t="s">
        <v>69</v>
      </c>
      <c r="E15" s="24" t="s">
        <v>54</v>
      </c>
      <c r="F15" s="24" t="s">
        <v>55</v>
      </c>
      <c r="G15" t="s">
        <v>34</v>
      </c>
      <c r="H15" s="26">
        <v>15</v>
      </c>
      <c r="I15" s="27">
        <v>12</v>
      </c>
      <c r="J15" s="27">
        <f t="shared" si="0"/>
        <v>3</v>
      </c>
      <c r="K15" s="29">
        <f t="shared" si="1"/>
        <v>0.8</v>
      </c>
    </row>
    <row r="16" spans="1:11" ht="12.75">
      <c r="A16" s="5">
        <v>15</v>
      </c>
      <c r="B16" s="22" t="s">
        <v>11</v>
      </c>
      <c r="C16" s="24" t="s">
        <v>46</v>
      </c>
      <c r="D16" s="8" t="s">
        <v>70</v>
      </c>
      <c r="E16" s="24" t="s">
        <v>56</v>
      </c>
      <c r="F16" s="24" t="s">
        <v>13</v>
      </c>
      <c r="G16" t="s">
        <v>37</v>
      </c>
      <c r="H16" s="26">
        <v>20</v>
      </c>
      <c r="I16" s="27">
        <v>20</v>
      </c>
      <c r="J16" s="27">
        <f t="shared" si="0"/>
        <v>0</v>
      </c>
      <c r="K16" s="29">
        <f t="shared" si="1"/>
        <v>1</v>
      </c>
    </row>
    <row r="17" spans="1:11" ht="12.75">
      <c r="A17" s="5">
        <v>16</v>
      </c>
      <c r="B17" s="22" t="s">
        <v>11</v>
      </c>
      <c r="C17" s="24" t="s">
        <v>46</v>
      </c>
      <c r="D17" s="8" t="s">
        <v>70</v>
      </c>
      <c r="E17" s="24" t="s">
        <v>56</v>
      </c>
      <c r="F17" s="24" t="s">
        <v>55</v>
      </c>
      <c r="G17" t="s">
        <v>37</v>
      </c>
      <c r="H17" s="26">
        <v>20</v>
      </c>
      <c r="I17" s="27">
        <v>20</v>
      </c>
      <c r="J17" s="27">
        <f t="shared" si="0"/>
        <v>0</v>
      </c>
      <c r="K17" s="29">
        <f t="shared" si="1"/>
        <v>1</v>
      </c>
    </row>
    <row r="18" spans="1:11" ht="12.75">
      <c r="A18" s="5">
        <v>17</v>
      </c>
      <c r="B18" s="22" t="s">
        <v>11</v>
      </c>
      <c r="C18" s="24" t="s">
        <v>46</v>
      </c>
      <c r="D18" s="8" t="s">
        <v>70</v>
      </c>
      <c r="E18" s="24" t="s">
        <v>57</v>
      </c>
      <c r="F18" s="24" t="s">
        <v>13</v>
      </c>
      <c r="G18" t="s">
        <v>36</v>
      </c>
      <c r="H18" s="26">
        <v>15</v>
      </c>
      <c r="I18" s="27">
        <v>10</v>
      </c>
      <c r="J18" s="27">
        <f t="shared" si="0"/>
        <v>5</v>
      </c>
      <c r="K18" s="29">
        <f t="shared" si="1"/>
        <v>0.66666666666666663</v>
      </c>
    </row>
    <row r="19" spans="1:11" ht="12.75">
      <c r="A19" s="5">
        <v>18</v>
      </c>
      <c r="B19" s="22" t="s">
        <v>11</v>
      </c>
      <c r="C19" s="24" t="s">
        <v>46</v>
      </c>
      <c r="D19" s="8" t="s">
        <v>70</v>
      </c>
      <c r="E19" s="24" t="s">
        <v>57</v>
      </c>
      <c r="F19" s="23" t="s">
        <v>55</v>
      </c>
      <c r="G19" t="s">
        <v>36</v>
      </c>
      <c r="H19" s="31">
        <v>20</v>
      </c>
      <c r="I19" s="27">
        <v>10</v>
      </c>
      <c r="J19" s="27">
        <f>H20-I19</f>
        <v>5</v>
      </c>
      <c r="K19" s="29">
        <f t="shared" si="1"/>
        <v>0.5</v>
      </c>
    </row>
    <row r="20" spans="1:11" ht="12.75">
      <c r="A20" s="5">
        <v>19</v>
      </c>
      <c r="B20" s="22" t="s">
        <v>58</v>
      </c>
      <c r="C20" s="24" t="s">
        <v>42</v>
      </c>
      <c r="D20" s="25" t="s">
        <v>48</v>
      </c>
      <c r="E20" s="24" t="s">
        <v>59</v>
      </c>
      <c r="F20" s="23" t="s">
        <v>67</v>
      </c>
      <c r="G20" t="s">
        <v>35</v>
      </c>
      <c r="H20" s="26">
        <v>15</v>
      </c>
      <c r="I20" s="8">
        <v>12</v>
      </c>
      <c r="J20" s="27">
        <f>H20-I20</f>
        <v>3</v>
      </c>
      <c r="K20" s="29">
        <f t="shared" si="1"/>
        <v>0.8</v>
      </c>
    </row>
    <row r="21" spans="1:11" ht="15.75" customHeight="1">
      <c r="A21" s="5">
        <v>20</v>
      </c>
      <c r="B21" s="22" t="s">
        <v>58</v>
      </c>
      <c r="C21" s="24" t="s">
        <v>42</v>
      </c>
      <c r="D21" s="25" t="s">
        <v>48</v>
      </c>
      <c r="E21" s="24" t="s">
        <v>59</v>
      </c>
      <c r="F21" s="23" t="s">
        <v>55</v>
      </c>
      <c r="G21" t="s">
        <v>35</v>
      </c>
      <c r="H21" s="31">
        <v>20</v>
      </c>
      <c r="I21" s="32">
        <v>16</v>
      </c>
      <c r="J21" s="27">
        <f t="shared" ref="J21:J28" si="2">H21-I21</f>
        <v>4</v>
      </c>
      <c r="K21" s="29">
        <f t="shared" ref="K21:K28" si="3">I21/H21</f>
        <v>0.8</v>
      </c>
    </row>
    <row r="22" spans="1:11" ht="15.75" customHeight="1">
      <c r="A22" s="5">
        <v>21</v>
      </c>
      <c r="B22" s="22" t="s">
        <v>58</v>
      </c>
      <c r="C22" s="24" t="s">
        <v>42</v>
      </c>
      <c r="D22" s="8" t="s">
        <v>71</v>
      </c>
      <c r="E22" s="24" t="s">
        <v>60</v>
      </c>
      <c r="F22" s="23" t="s">
        <v>13</v>
      </c>
      <c r="G22" t="s">
        <v>34</v>
      </c>
      <c r="H22" s="31">
        <v>10</v>
      </c>
      <c r="I22" s="32">
        <v>10</v>
      </c>
      <c r="J22" s="27">
        <f t="shared" si="2"/>
        <v>0</v>
      </c>
      <c r="K22" s="29">
        <f t="shared" si="3"/>
        <v>1</v>
      </c>
    </row>
    <row r="23" spans="1:11" ht="15.75" customHeight="1">
      <c r="A23" s="5">
        <v>22</v>
      </c>
      <c r="B23" s="22" t="s">
        <v>58</v>
      </c>
      <c r="C23" s="24" t="s">
        <v>42</v>
      </c>
      <c r="D23" s="8" t="s">
        <v>71</v>
      </c>
      <c r="E23" s="24" t="s">
        <v>60</v>
      </c>
      <c r="F23" s="23" t="s">
        <v>55</v>
      </c>
      <c r="G23" t="s">
        <v>34</v>
      </c>
      <c r="H23" s="31">
        <v>20</v>
      </c>
      <c r="I23" s="32">
        <v>20</v>
      </c>
      <c r="J23" s="27">
        <f t="shared" si="2"/>
        <v>0</v>
      </c>
      <c r="K23" s="29">
        <f t="shared" si="3"/>
        <v>1</v>
      </c>
    </row>
    <row r="24" spans="1:11" ht="15.75" customHeight="1">
      <c r="A24" s="5">
        <v>23</v>
      </c>
      <c r="B24" s="22" t="s">
        <v>58</v>
      </c>
      <c r="C24" s="24" t="s">
        <v>61</v>
      </c>
      <c r="D24" s="8" t="s">
        <v>72</v>
      </c>
      <c r="E24" s="24" t="s">
        <v>62</v>
      </c>
      <c r="F24" s="23" t="s">
        <v>13</v>
      </c>
      <c r="G24" t="s">
        <v>36</v>
      </c>
      <c r="H24" s="31">
        <v>10</v>
      </c>
      <c r="I24" s="32">
        <v>10</v>
      </c>
      <c r="J24" s="27">
        <f t="shared" si="2"/>
        <v>0</v>
      </c>
      <c r="K24" s="29">
        <f t="shared" si="3"/>
        <v>1</v>
      </c>
    </row>
    <row r="25" spans="1:11" ht="15.75" customHeight="1">
      <c r="A25" s="5">
        <v>24</v>
      </c>
      <c r="B25" s="22" t="s">
        <v>58</v>
      </c>
      <c r="C25" s="24" t="s">
        <v>61</v>
      </c>
      <c r="D25" s="8" t="s">
        <v>72</v>
      </c>
      <c r="E25" s="24" t="s">
        <v>62</v>
      </c>
      <c r="F25" s="23" t="s">
        <v>55</v>
      </c>
      <c r="G25" t="s">
        <v>36</v>
      </c>
      <c r="H25" s="31">
        <v>15</v>
      </c>
      <c r="I25" s="32">
        <v>15</v>
      </c>
      <c r="J25" s="27">
        <f t="shared" si="2"/>
        <v>0</v>
      </c>
      <c r="K25" s="29">
        <f t="shared" si="3"/>
        <v>1</v>
      </c>
    </row>
    <row r="26" spans="1:11" ht="15.75" customHeight="1">
      <c r="A26" s="5">
        <v>25</v>
      </c>
      <c r="B26" s="22" t="s">
        <v>58</v>
      </c>
      <c r="C26" s="24" t="s">
        <v>61</v>
      </c>
      <c r="D26" s="8" t="s">
        <v>72</v>
      </c>
      <c r="E26" s="24" t="s">
        <v>63</v>
      </c>
      <c r="F26" s="23" t="s">
        <v>13</v>
      </c>
      <c r="G26" t="s">
        <v>36</v>
      </c>
      <c r="H26" s="31">
        <v>10</v>
      </c>
      <c r="I26" s="32">
        <v>10</v>
      </c>
      <c r="J26" s="27">
        <f t="shared" si="2"/>
        <v>0</v>
      </c>
      <c r="K26" s="29">
        <f t="shared" si="3"/>
        <v>1</v>
      </c>
    </row>
    <row r="27" spans="1:11" ht="15.75" customHeight="1">
      <c r="A27" s="5">
        <v>26</v>
      </c>
      <c r="B27" s="22" t="s">
        <v>58</v>
      </c>
      <c r="C27" s="24" t="s">
        <v>64</v>
      </c>
      <c r="D27" s="8" t="s">
        <v>73</v>
      </c>
      <c r="E27" s="24" t="s">
        <v>65</v>
      </c>
      <c r="F27" s="23" t="s">
        <v>13</v>
      </c>
      <c r="G27" t="s">
        <v>35</v>
      </c>
      <c r="H27" s="31">
        <v>15</v>
      </c>
      <c r="I27" s="32">
        <v>15</v>
      </c>
      <c r="J27" s="27">
        <f t="shared" si="2"/>
        <v>0</v>
      </c>
      <c r="K27" s="29">
        <f t="shared" si="3"/>
        <v>1</v>
      </c>
    </row>
    <row r="28" spans="1:11" ht="15.75" customHeight="1">
      <c r="A28" s="5">
        <v>27</v>
      </c>
      <c r="B28" s="22" t="s">
        <v>58</v>
      </c>
      <c r="C28" s="24" t="s">
        <v>64</v>
      </c>
      <c r="D28" s="8" t="s">
        <v>73</v>
      </c>
      <c r="E28" s="24" t="s">
        <v>66</v>
      </c>
      <c r="F28" s="23" t="s">
        <v>55</v>
      </c>
      <c r="G28" t="s">
        <v>35</v>
      </c>
      <c r="H28" s="31">
        <v>10</v>
      </c>
      <c r="I28" s="32">
        <v>10</v>
      </c>
      <c r="J28" s="27">
        <f t="shared" si="2"/>
        <v>0</v>
      </c>
      <c r="K28" s="29">
        <f t="shared" si="3"/>
        <v>1</v>
      </c>
    </row>
    <row r="29" spans="1:11" ht="15.75" customHeight="1">
      <c r="A29" s="5">
        <v>28</v>
      </c>
    </row>
    <row r="30" spans="1:11" ht="15.75" customHeight="1">
      <c r="A30" s="5">
        <v>29</v>
      </c>
    </row>
    <row r="31" spans="1:11" ht="15.75" customHeight="1">
      <c r="A31" s="5">
        <v>30</v>
      </c>
    </row>
    <row r="32" spans="1:11" ht="15.75" customHeight="1">
      <c r="A32" s="5">
        <v>31</v>
      </c>
    </row>
    <row r="33" spans="1:1" ht="15.75" customHeight="1">
      <c r="A33" s="5">
        <v>32</v>
      </c>
    </row>
    <row r="34" spans="1:1" ht="15.75" customHeight="1">
      <c r="A34" s="5">
        <v>33</v>
      </c>
    </row>
    <row r="35" spans="1:1" ht="15.75" customHeight="1">
      <c r="A35" s="5">
        <v>34</v>
      </c>
    </row>
    <row r="36" spans="1:1" ht="15.75" customHeight="1">
      <c r="A36" s="5">
        <v>35</v>
      </c>
    </row>
    <row r="37" spans="1:1" ht="15.75" customHeight="1">
      <c r="A37" s="5">
        <v>36</v>
      </c>
    </row>
    <row r="38" spans="1:1" ht="15.75" customHeight="1">
      <c r="A38" s="5">
        <v>37</v>
      </c>
    </row>
    <row r="39" spans="1:1" ht="15.75" customHeight="1">
      <c r="A39" s="5">
        <v>38</v>
      </c>
    </row>
    <row r="40" spans="1:1" ht="15.75" customHeight="1">
      <c r="A40" s="5">
        <v>39</v>
      </c>
    </row>
    <row r="41" spans="1:1" ht="15.75" customHeight="1">
      <c r="A41" s="5">
        <v>40</v>
      </c>
    </row>
    <row r="42" spans="1:1" ht="15.75" customHeight="1">
      <c r="A42" s="5">
        <v>41</v>
      </c>
    </row>
    <row r="43" spans="1:1" ht="15.75" customHeight="1">
      <c r="A43" s="5">
        <v>42</v>
      </c>
    </row>
    <row r="44" spans="1:1" ht="15.75" customHeight="1">
      <c r="A44" s="5">
        <v>43</v>
      </c>
    </row>
    <row r="45" spans="1:1" ht="15.75" customHeight="1">
      <c r="A45" s="5">
        <v>44</v>
      </c>
    </row>
    <row r="46" spans="1:1" ht="15.75" customHeight="1">
      <c r="A46" s="5">
        <v>45</v>
      </c>
    </row>
    <row r="47" spans="1:1" ht="15.75" customHeight="1">
      <c r="A47" s="5">
        <v>46</v>
      </c>
    </row>
    <row r="48" spans="1:1" ht="15.75" customHeight="1">
      <c r="A48" s="5">
        <v>47</v>
      </c>
    </row>
    <row r="49" spans="1:1" ht="15.75" customHeight="1">
      <c r="A49" s="5">
        <v>48</v>
      </c>
    </row>
    <row r="50" spans="1:1" ht="15.75" customHeight="1">
      <c r="A50" s="5">
        <v>49</v>
      </c>
    </row>
    <row r="51" spans="1:1" ht="15.75" customHeight="1">
      <c r="A51" s="5">
        <v>50</v>
      </c>
    </row>
    <row r="52" spans="1:1" ht="15.75" customHeight="1">
      <c r="A52" s="5">
        <v>51</v>
      </c>
    </row>
    <row r="53" spans="1:1" ht="15.75" customHeight="1">
      <c r="A53" s="5">
        <v>52</v>
      </c>
    </row>
    <row r="54" spans="1:1" ht="15.75" customHeight="1">
      <c r="A54" s="5">
        <v>53</v>
      </c>
    </row>
    <row r="55" spans="1:1" ht="15.75" customHeight="1">
      <c r="A55" s="5">
        <v>54</v>
      </c>
    </row>
    <row r="56" spans="1:1" ht="15.75" customHeight="1">
      <c r="A56" s="5">
        <v>55</v>
      </c>
    </row>
    <row r="57" spans="1:1" ht="15.75" customHeight="1">
      <c r="A57" s="5">
        <v>56</v>
      </c>
    </row>
    <row r="58" spans="1:1" ht="15.75" customHeight="1">
      <c r="A58" s="5">
        <v>57</v>
      </c>
    </row>
    <row r="59" spans="1:1" ht="15.75" customHeight="1">
      <c r="A59" s="5">
        <v>58</v>
      </c>
    </row>
    <row r="60" spans="1:1" ht="15.75" customHeight="1">
      <c r="A60" s="5">
        <v>59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baseColWidth="10"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</row>
    <row r="2" spans="1:5" ht="15.75" customHeight="1">
      <c r="A2" s="13">
        <f>SUM('liste des taches'!H:H)</f>
        <v>465</v>
      </c>
      <c r="B2" s="13">
        <f>SUM('liste des taches'!I:I)</f>
        <v>410</v>
      </c>
      <c r="C2" s="13">
        <f>SUM('liste des taches'!J:J)</f>
        <v>50</v>
      </c>
      <c r="D2" s="14">
        <f>(B2/(B2+C2))</f>
        <v>0.89130434782608692</v>
      </c>
      <c r="E2" s="15">
        <f>((B2+C2)-A2)/A2</f>
        <v>-1.0752688172043012E-2</v>
      </c>
    </row>
    <row r="3" spans="1:5" ht="15.75" customHeight="1">
      <c r="A3" s="16"/>
      <c r="B3" s="16"/>
      <c r="C3" s="13">
        <f>C2/60</f>
        <v>0.83333333333333337</v>
      </c>
      <c r="D3" s="16" t="s">
        <v>27</v>
      </c>
      <c r="E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8"/>
  <sheetViews>
    <sheetView workbookViewId="0">
      <selection activeCell="F12" sqref="F12"/>
    </sheetView>
  </sheetViews>
  <sheetFormatPr baseColWidth="10" defaultColWidth="12.5703125" defaultRowHeight="15.75" customHeight="1"/>
  <sheetData>
    <row r="1" spans="1:5" ht="15.75" customHeight="1">
      <c r="A1" s="17" t="s">
        <v>0</v>
      </c>
      <c r="B1" s="18" t="s">
        <v>28</v>
      </c>
      <c r="C1" s="19">
        <v>46048</v>
      </c>
      <c r="D1" s="19">
        <v>46049</v>
      </c>
      <c r="E1" s="19">
        <v>46050</v>
      </c>
    </row>
    <row r="2" spans="1:5" ht="15.75" customHeight="1">
      <c r="A2" s="20">
        <v>1</v>
      </c>
      <c r="B2" s="13">
        <f>SUM(D2:P2)</f>
        <v>0</v>
      </c>
      <c r="C2" s="16"/>
      <c r="D2" s="20"/>
      <c r="E2" s="16"/>
    </row>
    <row r="3" spans="1:5" ht="15.75" customHeight="1">
      <c r="A3" s="20">
        <v>2</v>
      </c>
      <c r="B3" s="13">
        <f t="shared" ref="B3:B28" si="0">SUM(D3:P3)</f>
        <v>0</v>
      </c>
      <c r="C3" s="16"/>
      <c r="D3" s="16"/>
      <c r="E3" s="16"/>
    </row>
    <row r="4" spans="1:5" ht="15.75" customHeight="1">
      <c r="A4" s="20">
        <v>3</v>
      </c>
      <c r="B4" s="13">
        <f t="shared" si="0"/>
        <v>0</v>
      </c>
      <c r="C4" s="20"/>
      <c r="D4" s="20"/>
      <c r="E4" s="16"/>
    </row>
    <row r="5" spans="1:5" ht="15.75" customHeight="1">
      <c r="A5" s="20">
        <v>4</v>
      </c>
      <c r="B5" s="13">
        <f t="shared" si="0"/>
        <v>20</v>
      </c>
      <c r="C5" s="16"/>
      <c r="D5" s="16">
        <v>20</v>
      </c>
      <c r="E5" s="16"/>
    </row>
    <row r="6" spans="1:5" ht="15.75" customHeight="1">
      <c r="A6" s="20">
        <v>5</v>
      </c>
      <c r="B6" s="13">
        <f t="shared" si="0"/>
        <v>0</v>
      </c>
      <c r="C6" s="16"/>
      <c r="D6" s="21"/>
      <c r="E6" s="16"/>
    </row>
    <row r="7" spans="1:5" ht="15.75" customHeight="1">
      <c r="A7" s="20">
        <v>6</v>
      </c>
      <c r="B7" s="13">
        <f t="shared" si="0"/>
        <v>0</v>
      </c>
      <c r="C7" s="16"/>
      <c r="D7" s="16"/>
      <c r="E7" s="16"/>
    </row>
    <row r="8" spans="1:5" ht="15.75" customHeight="1">
      <c r="A8" s="20">
        <v>7</v>
      </c>
      <c r="B8" s="13">
        <f t="shared" si="0"/>
        <v>0</v>
      </c>
      <c r="C8" s="16"/>
      <c r="D8" s="21"/>
      <c r="E8" s="16"/>
    </row>
    <row r="9" spans="1:5" ht="15.75" customHeight="1">
      <c r="A9" s="9">
        <v>8</v>
      </c>
      <c r="B9" s="13">
        <f t="shared" si="0"/>
        <v>0</v>
      </c>
      <c r="D9" s="9"/>
    </row>
    <row r="10" spans="1:5" ht="15.75" customHeight="1">
      <c r="A10" s="9">
        <v>9</v>
      </c>
      <c r="B10" s="13">
        <f t="shared" si="0"/>
        <v>0</v>
      </c>
    </row>
    <row r="11" spans="1:5" ht="15.75" customHeight="1">
      <c r="A11" s="20">
        <v>10</v>
      </c>
      <c r="B11" s="13">
        <f t="shared" si="0"/>
        <v>0</v>
      </c>
    </row>
    <row r="12" spans="1:5" ht="15.75" customHeight="1">
      <c r="A12" s="20">
        <v>11</v>
      </c>
      <c r="B12" s="13">
        <f t="shared" si="0"/>
        <v>0</v>
      </c>
    </row>
    <row r="13" spans="1:5" ht="15.75" customHeight="1">
      <c r="A13" s="20">
        <v>12</v>
      </c>
      <c r="B13" s="13">
        <f t="shared" si="0"/>
        <v>0</v>
      </c>
    </row>
    <row r="14" spans="1:5" ht="15.75" customHeight="1">
      <c r="A14" s="20">
        <v>13</v>
      </c>
      <c r="B14" s="13">
        <f t="shared" si="0"/>
        <v>15</v>
      </c>
      <c r="D14">
        <v>15</v>
      </c>
    </row>
    <row r="15" spans="1:5" ht="15.75" customHeight="1">
      <c r="A15" s="20">
        <v>14</v>
      </c>
      <c r="B15" s="13">
        <f t="shared" si="0"/>
        <v>0</v>
      </c>
    </row>
    <row r="16" spans="1:5" ht="15.75" customHeight="1">
      <c r="A16" s="20">
        <v>15</v>
      </c>
      <c r="B16" s="13">
        <f t="shared" si="0"/>
        <v>0</v>
      </c>
    </row>
    <row r="17" spans="1:4" ht="15.75" customHeight="1">
      <c r="A17" s="20">
        <v>16</v>
      </c>
      <c r="B17" s="13">
        <f t="shared" si="0"/>
        <v>10</v>
      </c>
      <c r="D17">
        <v>10</v>
      </c>
    </row>
    <row r="18" spans="1:4" ht="15.75" customHeight="1">
      <c r="A18" s="9">
        <v>17</v>
      </c>
      <c r="B18" s="13">
        <f t="shared" si="0"/>
        <v>20</v>
      </c>
      <c r="D18">
        <v>20</v>
      </c>
    </row>
    <row r="19" spans="1:4" ht="15.75" customHeight="1">
      <c r="A19" s="9">
        <v>18</v>
      </c>
      <c r="B19" s="13">
        <f t="shared" si="0"/>
        <v>0</v>
      </c>
    </row>
    <row r="20" spans="1:4" ht="15.75" customHeight="1">
      <c r="A20" s="20">
        <v>19</v>
      </c>
      <c r="B20" s="13">
        <f t="shared" si="0"/>
        <v>0</v>
      </c>
    </row>
    <row r="21" spans="1:4" ht="15.75" customHeight="1">
      <c r="A21" s="20">
        <v>20</v>
      </c>
      <c r="B21" s="13">
        <f>SUM(D21:P21)</f>
        <v>0</v>
      </c>
    </row>
    <row r="22" spans="1:4" ht="15.75" customHeight="1">
      <c r="A22" s="20">
        <v>21</v>
      </c>
      <c r="B22" s="13">
        <f t="shared" si="0"/>
        <v>0</v>
      </c>
    </row>
    <row r="23" spans="1:4" ht="15.75" customHeight="1">
      <c r="A23" s="20">
        <v>22</v>
      </c>
      <c r="B23" s="13">
        <f t="shared" si="0"/>
        <v>0</v>
      </c>
    </row>
    <row r="24" spans="1:4" ht="15.75" customHeight="1">
      <c r="A24" s="20">
        <v>23</v>
      </c>
      <c r="B24" s="13">
        <f t="shared" si="0"/>
        <v>0</v>
      </c>
    </row>
    <row r="25" spans="1:4" ht="15.75" customHeight="1">
      <c r="A25" s="20">
        <v>24</v>
      </c>
      <c r="B25" s="13">
        <f t="shared" si="0"/>
        <v>0</v>
      </c>
    </row>
    <row r="26" spans="1:4" ht="15.75" customHeight="1">
      <c r="A26" s="20">
        <v>25</v>
      </c>
      <c r="B26" s="13">
        <f t="shared" si="0"/>
        <v>15</v>
      </c>
      <c r="D26">
        <v>15</v>
      </c>
    </row>
    <row r="27" spans="1:4" ht="15.75" customHeight="1">
      <c r="A27" s="9">
        <v>26</v>
      </c>
      <c r="B27" s="13">
        <f t="shared" si="0"/>
        <v>0</v>
      </c>
    </row>
    <row r="28" spans="1:4" ht="15.75" customHeight="1">
      <c r="A28" s="20">
        <v>27</v>
      </c>
      <c r="B28" s="1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groupe</vt:lpstr>
      <vt:lpstr>Détails1</vt:lpstr>
      <vt:lpstr>Détails2</vt:lpstr>
      <vt:lpstr>Détails3</vt:lpstr>
      <vt:lpstr>Recap</vt:lpstr>
      <vt:lpstr>liste des taches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Manuela Narindra</cp:lastModifiedBy>
  <dcterms:modified xsi:type="dcterms:W3CDTF">2026-01-27T14:29:18Z</dcterms:modified>
</cp:coreProperties>
</file>